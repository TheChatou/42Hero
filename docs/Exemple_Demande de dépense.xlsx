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  <sheet state="visible" name="Auer Packaging" sheetId="2" r:id="rId5"/>
    <sheet state="visible" name="Thomann" sheetId="3" r:id="rId6"/>
    <sheet state="visible" name="LeroyMerlin" sheetId="4" r:id="rId7"/>
    <sheet state="visible" name="Amazon" sheetId="5" r:id="rId8"/>
    <sheet state="visible" name="AliExpress" sheetId="6" r:id="rId9"/>
  </sheets>
  <definedNames/>
  <calcPr/>
  <extLst>
    <ext uri="GoogleSheetsCustomDataVersion2">
      <go:sheetsCustomData xmlns:go="http://customooxmlschemas.google.com/" r:id="rId10" roundtripDataChecksum="hSC/5nJMG1cYvqQSeMltEMYoXjaaZx32NYZDkm2WEsk="/>
    </ext>
  </extLst>
</workbook>
</file>

<file path=xl/sharedStrings.xml><?xml version="1.0" encoding="utf-8"?>
<sst xmlns="http://schemas.openxmlformats.org/spreadsheetml/2006/main" count="115" uniqueCount="59">
  <si>
    <t>Date :</t>
  </si>
  <si>
    <t>2025/24/03</t>
  </si>
  <si>
    <t>Pôle :</t>
  </si>
  <si>
    <t>42 Chips</t>
  </si>
  <si>
    <t>Responsable :</t>
  </si>
  <si>
    <t>Marie-Ange Ferracci</t>
  </si>
  <si>
    <t>DEMANDE DE DEPENSE</t>
  </si>
  <si>
    <t>Fournisseur</t>
  </si>
  <si>
    <t>TTC</t>
  </si>
  <si>
    <t>Commentaires</t>
  </si>
  <si>
    <t>Validation 42</t>
  </si>
  <si>
    <t>Auer Packaging</t>
  </si>
  <si>
    <t>Equipements Labelec</t>
  </si>
  <si>
    <t>Thomann</t>
  </si>
  <si>
    <t>Leroy Merlin</t>
  </si>
  <si>
    <t>Amazon</t>
  </si>
  <si>
    <t>Aliexpress</t>
  </si>
  <si>
    <t>Commentaire</t>
  </si>
  <si>
    <t>RefFournisseur</t>
  </si>
  <si>
    <t>PrixUnitaire (HT)</t>
  </si>
  <si>
    <t>Quantitée</t>
  </si>
  <si>
    <t>PrixTotal (TTC)</t>
  </si>
  <si>
    <t>Couvercles anti-poussière RK 4209  RK 4214</t>
  </si>
  <si>
    <t>SD 4234</t>
  </si>
  <si>
    <t>Fenêtres insérables RK 3214 RK 4214 RK 5214 RK 6214</t>
  </si>
  <si>
    <t>ES 214</t>
  </si>
  <si>
    <t>Séparateurs transversaux RK</t>
  </si>
  <si>
    <t>QT 214</t>
  </si>
  <si>
    <t>T.V.A. (20 %)</t>
  </si>
  <si>
    <t>Livraison et expédition</t>
  </si>
  <si>
    <t>Total (TTC)</t>
  </si>
  <si>
    <t>Yamaha HS5 Bundle</t>
  </si>
  <si>
    <t>Behringer U-Phoria UMC202HD</t>
  </si>
  <si>
    <t>Cable jack male/male mono 6m</t>
  </si>
  <si>
    <t xml:space="preserve">Casier de rangement à vis, 30 tiroirs, STANLEY, H. 22.5 x l. 36.5 x P. 15.5 cm </t>
  </si>
  <si>
    <t xml:space="preserve">Leroy Merlin </t>
  </si>
  <si>
    <t xml:space="preserve">Casier de rangement à vis, 9 tiroirs, STANLEY, H. 22.5 x l. 36.5 x P. 16 cm </t>
  </si>
  <si>
    <t>Transport</t>
  </si>
  <si>
    <t>ciseaux de bourrin</t>
  </si>
  <si>
    <t>Raspberry pi 5</t>
  </si>
  <si>
    <t>Rapberry pi 5</t>
  </si>
  <si>
    <t>Alimentation 50W 5V 10A</t>
  </si>
  <si>
    <t>MeanWell power supply</t>
  </si>
  <si>
    <t>Adafruit Matrix RGB</t>
  </si>
  <si>
    <t>Adafruit</t>
  </si>
  <si>
    <t>6 x Dymo Ruban pour Etiqueteuse</t>
  </si>
  <si>
    <t>Ruban pour etiqueteuse</t>
  </si>
  <si>
    <t>Gaine Thermorétractable (4.8mm/50m/orange)</t>
  </si>
  <si>
    <t>AliEpress</t>
  </si>
  <si>
    <t>Gaine Thermo</t>
  </si>
  <si>
    <t>Câble en Silicone(50m/24AWG/Blue)</t>
  </si>
  <si>
    <t>Cable Origwood</t>
  </si>
  <si>
    <t>Câble en Silicone(50m/24AWG/Yellow)</t>
  </si>
  <si>
    <t>Câble en Silicone(50m/24AWG/Green)</t>
  </si>
  <si>
    <t>Câble en Silicone (50m/24AWG/Black)</t>
  </si>
  <si>
    <t>Cable Pusaren Silicone</t>
  </si>
  <si>
    <t>Câble en Silicone (50m/24AWG/Red)</t>
  </si>
  <si>
    <t>Rouleau d'attaches de câble réutilisables(White/15mm/5Rolls)</t>
  </si>
  <si>
    <t>Rool Origwood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</si>
</sst>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€-40C];[RED]\-#,##0.00\ [$€-40C]"/>
  </numFmts>
  <fonts count="25">
    <font>
      <sz val="11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36.0"/>
      <color theme="1"/>
      <name val="Calibri"/>
    </font>
    <font>
      <sz val="12.0"/>
      <color rgb="FF000000"/>
      <name val="Arial"/>
    </font>
    <font>
      <sz val="12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sz val="12.0"/>
      <color theme="1"/>
      <name val="Arial"/>
      <scheme val="minor"/>
    </font>
    <font>
      <u/>
      <sz val="12.0"/>
      <color rgb="FF0563C1"/>
      <name val="Arial"/>
    </font>
    <font>
      <u/>
      <sz val="12.0"/>
      <color rgb="FF0000FF"/>
      <name val="Arial"/>
    </font>
    <font>
      <u/>
      <sz val="12.0"/>
      <color rgb="FF0000FF"/>
    </font>
    <font>
      <color theme="1"/>
      <name val="Arial"/>
      <scheme val="minor"/>
    </font>
    <font>
      <color rgb="FF3C3C3C"/>
      <name val="Open Sans"/>
    </font>
    <font>
      <color theme="1"/>
      <name val="Arial"/>
    </font>
    <font>
      <sz val="11.0"/>
      <color theme="1"/>
      <name val="Arial"/>
      <scheme val="minor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u/>
      <sz val="12.0"/>
      <color rgb="FF0000FF"/>
    </font>
    <font>
      <sz val="12.0"/>
      <color theme="1"/>
      <name val="Times New Roman"/>
    </font>
    <font>
      <u/>
      <sz val="12.0"/>
      <color rgb="FF0563C1"/>
      <name val="Arial"/>
    </font>
    <font>
      <u/>
      <sz val="12.0"/>
      <color rgb="FF0000FF"/>
    </font>
    <font>
      <u/>
      <sz val="12.0"/>
      <color rgb="FF0563C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0C0C0C"/>
        <bgColor rgb="FF0C0C0C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9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shrinkToFit="0" vertical="bottom" wrapText="0"/>
    </xf>
    <xf borderId="2" fillId="2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3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4" fillId="3" fontId="3" numFmtId="0" xfId="0" applyAlignment="1" applyBorder="1" applyFill="1" applyFont="1">
      <alignment shrinkToFit="0" vertical="bottom" wrapText="0"/>
    </xf>
    <xf borderId="5" fillId="3" fontId="6" numFmtId="0" xfId="0" applyAlignment="1" applyBorder="1" applyFont="1">
      <alignment readingOrder="0" shrinkToFit="0" vertical="bottom" wrapText="0"/>
    </xf>
    <xf borderId="0" fillId="4" fontId="6" numFmtId="164" xfId="0" applyAlignment="1" applyFill="1" applyFont="1" applyNumberFormat="1">
      <alignment shrinkToFit="0" vertical="bottom" wrapText="0"/>
    </xf>
    <xf borderId="0" fillId="4" fontId="5" numFmtId="0" xfId="0" applyAlignment="1" applyFont="1">
      <alignment shrinkToFit="0" vertical="bottom" wrapText="0"/>
    </xf>
    <xf borderId="5" fillId="5" fontId="6" numFmtId="0" xfId="0" applyAlignment="1" applyBorder="1" applyFill="1" applyFont="1">
      <alignment readingOrder="0" shrinkToFit="0" vertical="bottom" wrapText="0"/>
    </xf>
    <xf borderId="5" fillId="3" fontId="6" numFmtId="164" xfId="0" applyAlignment="1" applyBorder="1" applyFont="1" applyNumberForma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5" fillId="3" fontId="6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6" fillId="3" fontId="3" numFmtId="0" xfId="0" applyAlignment="1" applyBorder="1" applyFont="1">
      <alignment shrinkToFit="0" vertical="bottom" wrapText="0"/>
    </xf>
    <xf borderId="7" fillId="3" fontId="6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shrinkToFit="0" vertical="bottom" wrapText="0"/>
    </xf>
    <xf borderId="8" fillId="0" fontId="3" numFmtId="0" xfId="0" applyAlignment="1" applyBorder="1" applyFont="1">
      <alignment shrinkToFit="0" vertical="bottom" wrapText="0"/>
    </xf>
    <xf borderId="8" fillId="0" fontId="3" numFmtId="164" xfId="0" applyAlignment="1" applyBorder="1" applyFont="1" applyNumberFormat="1">
      <alignment shrinkToFit="0" vertical="bottom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horizontal="left" shrinkToFit="0" vertical="center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readingOrder="0"/>
    </xf>
    <xf borderId="0" fillId="0" fontId="10" numFmtId="0" xfId="0" applyAlignment="1" applyFont="1">
      <alignment shrinkToFit="0" vertical="bottom" wrapText="0"/>
    </xf>
    <xf borderId="0" fillId="5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5" fontId="14" numFmtId="0" xfId="0" applyFont="1"/>
    <xf borderId="0" fillId="0" fontId="15" numFmtId="0" xfId="0" applyFont="1"/>
    <xf borderId="5" fillId="6" fontId="6" numFmtId="164" xfId="0" applyAlignment="1" applyBorder="1" applyFill="1" applyFont="1" applyNumberFormat="1">
      <alignment shrinkToFit="0" vertical="bottom" wrapText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 shrinkToFit="0" vertical="bottom" wrapText="0"/>
    </xf>
    <xf borderId="0" fillId="5" fontId="18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0" fillId="0" fontId="6" numFmtId="0" xfId="0" applyFont="1"/>
    <xf borderId="0" fillId="0" fontId="9" numFmtId="0" xfId="0" applyFont="1"/>
    <xf borderId="0" fillId="0" fontId="5" numFmtId="0" xfId="0" applyAlignment="1" applyFont="1">
      <alignment shrinkToFit="0" vertical="bottom" wrapText="1"/>
    </xf>
    <xf borderId="0" fillId="0" fontId="19" numFmtId="0" xfId="0" applyAlignment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1"/>
    </xf>
    <xf borderId="0" fillId="0" fontId="6" numFmtId="164" xfId="0" applyAlignment="1" applyFont="1" applyNumberFormat="1">
      <alignment horizontal="right" shrinkToFit="0" vertical="bottom" wrapText="0"/>
    </xf>
    <xf borderId="0" fillId="0" fontId="9" numFmtId="0" xfId="0" applyFont="1"/>
    <xf borderId="0" fillId="0" fontId="21" numFmtId="0" xfId="0" applyAlignment="1" applyFont="1">
      <alignment shrinkToFit="0" vertical="bottom" wrapText="0"/>
    </xf>
    <xf borderId="0" fillId="5" fontId="22" numFmtId="0" xfId="0" applyAlignment="1" applyFont="1">
      <alignment horizontal="right" readingOrder="0"/>
    </xf>
    <xf borderId="0" fillId="0" fontId="6" numFmtId="164" xfId="0" applyAlignment="1" applyFont="1" applyNumberFormat="1">
      <alignment readingOrder="0" shrinkToFit="0" vertical="bottom" wrapText="0"/>
    </xf>
    <xf borderId="0" fillId="0" fontId="23" numFmtId="0" xfId="0" applyAlignment="1" applyFont="1">
      <alignment horizontal="right"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0" fontId="24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6" numFmtId="164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1</xdr:row>
      <xdr:rowOff>47625</xdr:rowOff>
    </xdr:from>
    <xdr:ext cx="1666875" cy="1200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uer-packaging.com/fr/fr/" TargetMode="External"/><Relationship Id="rId2" Type="http://schemas.openxmlformats.org/officeDocument/2006/relationships/hyperlink" Target="https://www.auer-packaging.com/fr/fr/Couvercles-anti-poussi%C3%A8re-RK/SD-4234.html" TargetMode="External"/><Relationship Id="rId3" Type="http://schemas.openxmlformats.org/officeDocument/2006/relationships/hyperlink" Target="https://www.auer-packaging.com/fr/fr/" TargetMode="External"/><Relationship Id="rId4" Type="http://schemas.openxmlformats.org/officeDocument/2006/relationships/hyperlink" Target="https://www.auer-packaging.com/fr/fr/Fen%C3%AAtres-ins%C3%A9rables-RK/ES-214.html" TargetMode="External"/><Relationship Id="rId5" Type="http://schemas.openxmlformats.org/officeDocument/2006/relationships/hyperlink" Target="https://www.auer-packaging.com/fr/fr/" TargetMode="External"/><Relationship Id="rId6" Type="http://schemas.openxmlformats.org/officeDocument/2006/relationships/hyperlink" Target="https://www.auer-packaging.com/fr/fr/S%C3%A9parateurs-transversaux-RK/QT-214.html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omann.fr/" TargetMode="External"/><Relationship Id="rId2" Type="http://schemas.openxmlformats.org/officeDocument/2006/relationships/hyperlink" Target="https://www.thomann.fr/yamaha_hs_5_stand_bundle.htm" TargetMode="External"/><Relationship Id="rId3" Type="http://schemas.openxmlformats.org/officeDocument/2006/relationships/hyperlink" Target="https://www.thomann.fr/" TargetMode="External"/><Relationship Id="rId4" Type="http://schemas.openxmlformats.org/officeDocument/2006/relationships/hyperlink" Target="https://www.thomann.fr/behringer_u_phoria_umc202hd.htm" TargetMode="External"/><Relationship Id="rId5" Type="http://schemas.openxmlformats.org/officeDocument/2006/relationships/hyperlink" Target="https://www.thomann.fr/" TargetMode="External"/><Relationship Id="rId6" Type="http://schemas.openxmlformats.org/officeDocument/2006/relationships/hyperlink" Target="https://www.thomann.fr/the_sssnake_sk361-6.htm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eroymerlin.fr/" TargetMode="External"/><Relationship Id="rId2" Type="http://schemas.openxmlformats.org/officeDocument/2006/relationships/hyperlink" Target="https://www.leroymerlin.fr/produits/quincaillerie/rangement-utilitaire/boite-et-casier-de-rangement-pour-vis/casier-a-vis/casier-de-rangement-a-vis-30-tiroirs-stanley-h-22-5-x-l-36-5-x-p-15-5-cm-35208803.html" TargetMode="External"/><Relationship Id="rId3" Type="http://schemas.openxmlformats.org/officeDocument/2006/relationships/hyperlink" Target="https://www.leroymerlin.fr/" TargetMode="External"/><Relationship Id="rId4" Type="http://schemas.openxmlformats.org/officeDocument/2006/relationships/hyperlink" Target="https://www.leroymerlin.fr/produits/quincaillerie/rangement-utilitaire/boite-et-casier-de-rangement-pour-vis/casier-a-vis/casier-de-rangement-a-vis-9-tiroirs-stanley-h-22-5-x-l-36-5-x-p-16-cm-35208782.html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fr/ref=nav_logo" TargetMode="External"/><Relationship Id="rId2" Type="http://schemas.openxmlformats.org/officeDocument/2006/relationships/hyperlink" Target="https://www.amazon.fr/Raspberry-Pi-Quad-Core-ARMA76-Bits/dp/B0CK2FCG1K?dib=eyJ2IjoiMSJ9.EIRWMNAsT_JPS2JI4yVop1jWFw2p2AJkkSq4rEGG0ue2XyUGsOSGuKwPTxm0TvEV9EFVUkagvWfplhDEhr4y61ESOpsiNW2i7oC1BEoPhl0NNAEu69Tlu15h6wxLyzkuvkzScerZiP5rALDB5li5Ih2rpOgfyOZbP8KhMcDZK4Tx-eKG-BuRXX51iolk0lTETk_SrIT5CCbvULA5Qh4AHjC4AhzcBjBQGhRzKcYtZSrkhp2SgCRNpcbV9E2Z8ipfIdTpY038O11ax7PlZ9jaU-ZUhU4Is0lTYIlP7XS0Vxn8qNRFNqxB8qdbIkeoXe2l8yIrlYCbZKWnBCiSXaRdS9B0MOC79DthJ0ovRpUcxcCnBftcfl4yI-ls4Ccv1t8TERyFUZz-yiNbv2sGVRVpIxfmTLvGRqHj76aeNagg-0RNZR-yPamJqTs-f1-5OMi3.5SrkTlVKUsVnEy-5tiCMI1sR25dgvf9SCE-aCymcMec&amp;dib_tag=se&amp;keywords=raspberry+pi+5&amp;qid=1742827072&amp;sr=8-5" TargetMode="External"/><Relationship Id="rId3" Type="http://schemas.openxmlformats.org/officeDocument/2006/relationships/hyperlink" Target="https://www.amazon.fr/ref=nav_logo" TargetMode="External"/><Relationship Id="rId4" Type="http://schemas.openxmlformats.org/officeDocument/2006/relationships/hyperlink" Target="https://www.amazon.fr/LED-Alimentation-50W-MeanWell-RS-50-5/dp/B00MWQDH00?ref_=ast_sto_dp&amp;th=1" TargetMode="External"/><Relationship Id="rId9" Type="http://schemas.openxmlformats.org/officeDocument/2006/relationships/drawing" Target="../drawings/drawing5.xml"/><Relationship Id="rId5" Type="http://schemas.openxmlformats.org/officeDocument/2006/relationships/hyperlink" Target="https://www.amazon.fr/ref=nav_logo" TargetMode="External"/><Relationship Id="rId6" Type="http://schemas.openxmlformats.org/officeDocument/2006/relationships/hyperlink" Target="https://www.amazon.fr/Adafruit-RGB-Matrix-Bonnet-Raspberry/dp/B07DNBLXV2?dib=eyJ2IjoiMSJ9.Luzzc3HdqtFwUkusj11LxJyMhqMDfUDwVBLztFmIz0Z4WteckoR5zNUvTDS57iE6q3W3rkxrUpoOenPehAgYZQ.vX722kl9HEGmVB1xwPgHzK4VRVULAPdS7UDRAVM-1Qg&amp;dib_tag=se&amp;keywords=adafruit+rgb+matrix+bonnet&amp;qid=1742830746&amp;sr=8-3" TargetMode="External"/><Relationship Id="rId7" Type="http://schemas.openxmlformats.org/officeDocument/2006/relationships/hyperlink" Target="https://www.amazon.fr/ref=nav_logo" TargetMode="External"/><Relationship Id="rId8" Type="http://schemas.openxmlformats.org/officeDocument/2006/relationships/hyperlink" Target="https://www.amazon.fr/Etiqueteuse-Recharge-Letratag-Plastique-91201/dp/B0CNC6DD55?pd_rd_w=d02WP&amp;content-id=amzn1.sym.41d6c71f-c79f-48de-93a0-206dcbe3791f&amp;pf_rd_p=41d6c71f-c79f-48de-93a0-206dcbe3791f&amp;pf_rd_r=8MPPKNSRQKGQ2Q64MSZK&amp;pd_rd_wg=aWyTC&amp;pd_rd_r=c9f8e143-026d-4c0c-b49c-4db822285977&amp;pd_rd_i=B0CNC6DD55" TargetMode="Externa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fr.aliexpress.com/?spm=a2g0o.home.logo.1.864f7065nsY5sf" TargetMode="External"/><Relationship Id="rId10" Type="http://schemas.openxmlformats.org/officeDocument/2006/relationships/hyperlink" Target="https://fr.aliexpress.com/item/1005006064722016.html?spm=a2g0o.productlist.main.1.75d5579diTnq3h&amp;algo_pvid=01f7aaf0-8bb0-4237-ade8-22c4f4020d5c&amp;algo_exp_id=01f7aaf0-8bb0-4237-ade8-22c4f4020d5c-0&amp;pdp_ext_f=%7B%22order%22%3A%222805%22%2C%22eval%22%3A%221%22%7D&amp;pdp_npi=4%40dis%21EUR%213.74%213.49%21%21%2128.73%2126.80%21%40211b807017428259654087567eef79%2112000035980707791%21sea%21FR%212295686417%21X&amp;curPageLogUid=3hjDaTNVl0iB&amp;utparam-url=scene%3Asearch%7Cquery_from%3A" TargetMode="External"/><Relationship Id="rId13" Type="http://schemas.openxmlformats.org/officeDocument/2006/relationships/hyperlink" Target="https://fr.aliexpress.com/?spm=a2g0o.home.logo.1.864f7065nsY5sf" TargetMode="External"/><Relationship Id="rId12" Type="http://schemas.openxmlformats.org/officeDocument/2006/relationships/hyperlink" Target="https://fr.aliexpress.com/item/1005006064722016.html?spm=a2g0o.productlist.main.1.75d5579diTnq3h&amp;algo_pvid=01f7aaf0-8bb0-4237-ade8-22c4f4020d5c&amp;algo_exp_id=01f7aaf0-8bb0-4237-ade8-22c4f4020d5c-0&amp;pdp_ext_f=%7B%22order%22%3A%222805%22%2C%22eval%22%3A%221%22%7D&amp;pdp_npi=4%40dis%21EUR%213.74%213.49%21%21%2128.73%2126.80%21%40211b807017428259654087567eef79%2112000035980707791%21sea%21FR%212295686417%21X&amp;curPageLogUid=3hjDaTNVl0iB&amp;utparam-url=scene%3Asearch%7Cquery_from%3A" TargetMode="External"/><Relationship Id="rId1" Type="http://schemas.openxmlformats.org/officeDocument/2006/relationships/hyperlink" Target="https://fr.aliexpress.com/?spm=a2g0o.home.logo.1.864f7065nsY5sf" TargetMode="External"/><Relationship Id="rId2" Type="http://schemas.openxmlformats.org/officeDocument/2006/relationships/hyperlink" Target="https://fr.aliexpress.com/item/1005007498179166.html?spm=a2g0o.productlist.main.13.1e7duMN7uMN71C&amp;algo_pvid=46c508c4-cb9a-42f6-9d6a-1d81f4119fde&amp;algo_exp_id=46c508c4-cb9a-42f6-9d6a-1d81f4119fde-6&amp;pdp_ext_f=%7B%22order%22%3A%2246%22%2C%22eval%22%3A%221%22%7D&amp;pdp_npi=4%40dis%21EUR%213.41%212.93%21%21%213.61%213.10%21%402103956b17428295036797760e5c3a%2112000041031154994%21sea%21FR%212295686417%21X&amp;curPageLogUid=VxibeCxtQYRj&amp;utparam-url=scene%3Asearch%7Cquery_from%3A" TargetMode="External"/><Relationship Id="rId3" Type="http://schemas.openxmlformats.org/officeDocument/2006/relationships/hyperlink" Target="https://fr.aliexpress.com/?spm=a2g0o.home.logo.1.864f7065nsY5sf" TargetMode="External"/><Relationship Id="rId4" Type="http://schemas.openxmlformats.org/officeDocument/2006/relationships/hyperlink" Target="https://fr.aliexpress.com/item/1005008588882708.html?spm=a2g0o.productlist.main.13.6a09yfr3yfr3yr&amp;algo_pvid=710677fc-320b-435c-a967-249ea1290b5d&amp;algo_exp_id=710677fc-320b-435c-a967-249ea1290b5d-6&amp;pdp_ext_f=%7B%22order%22%3A%2211%22%2C%22eval%22%3A%221%22%7D&amp;pdp_npi=4%40dis%21EUR%210.53%210.51%21%21%214.09%213.90%21%4021038da617428283518595200ebe7e%2112000045854128870%21sea%21FR%212295686417%21X&amp;curPageLogUid=klTN2wEbdLsD&amp;utparam-url=scene%3Asearch%7Cquery_from%3A" TargetMode="External"/><Relationship Id="rId9" Type="http://schemas.openxmlformats.org/officeDocument/2006/relationships/hyperlink" Target="https://fr.aliexpress.com/?spm=a2g0o.home.logo.1.864f7065nsY5sf" TargetMode="External"/><Relationship Id="rId15" Type="http://schemas.openxmlformats.org/officeDocument/2006/relationships/drawing" Target="../drawings/drawing6.xml"/><Relationship Id="rId14" Type="http://schemas.openxmlformats.org/officeDocument/2006/relationships/hyperlink" Target="https://fr.aliexpress.com/item/1005006106310442.html?spm=a2g0o.store_pc_home.promoteRecommendProducts_2006921265566.1005006106310442&amp;gatewayAdapt=glo2fra" TargetMode="External"/><Relationship Id="rId5" Type="http://schemas.openxmlformats.org/officeDocument/2006/relationships/hyperlink" Target="https://fr.aliexpress.com/?spm=a2g0o.home.logo.1.864f7065nsY5sf" TargetMode="External"/><Relationship Id="rId6" Type="http://schemas.openxmlformats.org/officeDocument/2006/relationships/hyperlink" Target="https://fr.aliexpress.com/item/1005008588882708.html?spm=a2g0o.productlist.main.13.6a09yfr3yfr3yr&amp;algo_pvid=710677fc-320b-435c-a967-249ea1290b5d&amp;algo_exp_id=710677fc-320b-435c-a967-249ea1290b5d-6&amp;pdp_ext_f=%7B%22order%22%3A%2211%22%2C%22eval%22%3A%221%22%7D&amp;pdp_npi=4%40dis%21EUR%210.53%210.51%21%21%214.09%213.90%21%4021038da617428283518595200ebe7e%2112000045854128870%21sea%21FR%212295686417%21X&amp;curPageLogUid=klTN2wEbdLsD&amp;utparam-url=scene%3Asearch%7Cquery_from%3A" TargetMode="External"/><Relationship Id="rId7" Type="http://schemas.openxmlformats.org/officeDocument/2006/relationships/hyperlink" Target="https://fr.aliexpress.com/?spm=a2g0o.home.logo.1.864f7065nsY5sf" TargetMode="External"/><Relationship Id="rId8" Type="http://schemas.openxmlformats.org/officeDocument/2006/relationships/hyperlink" Target="https://fr.aliexpress.com/item/1005008588882708.html?spm=a2g0o.productlist.main.13.6a09yfr3yfr3yr&amp;algo_pvid=710677fc-320b-435c-a967-249ea1290b5d&amp;algo_exp_id=710677fc-320b-435c-a967-249ea1290b5d-6&amp;pdp_ext_f=%7B%22order%22%3A%2211%22%2C%22eval%22%3A%221%22%7D&amp;pdp_npi=4%40dis%21EUR%210.53%210.51%21%21%214.09%213.90%21%4021038da617428283518595200ebe7e%2112000045854128870%21sea%21FR%212295686417%21X&amp;curPageLogUid=klTN2wEbdLsD&amp;utparam-url=scene%3Asearch%7Cquery_from%3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32.63"/>
    <col customWidth="1" min="3" max="3" width="29.5"/>
    <col customWidth="1" min="4" max="4" width="46.63"/>
    <col customWidth="1" min="5" max="5" width="21.38"/>
    <col customWidth="1" min="6" max="6" width="40.63"/>
    <col customWidth="1" min="7" max="7" width="25.13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2" t="s">
        <v>0</v>
      </c>
      <c r="D2" s="3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1"/>
      <c r="C4" s="2" t="s">
        <v>2</v>
      </c>
      <c r="D4" s="4" t="s">
        <v>3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/>
      <c r="C5" s="2" t="s">
        <v>4</v>
      </c>
      <c r="D5" s="4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1"/>
      <c r="B9" s="1"/>
      <c r="C9" s="5" t="s">
        <v>6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"/>
      <c r="C10" s="1"/>
      <c r="D10" s="1"/>
      <c r="E10" s="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6"/>
      <c r="B12" s="7" t="s">
        <v>7</v>
      </c>
      <c r="C12" s="7" t="s">
        <v>8</v>
      </c>
      <c r="D12" s="7" t="s">
        <v>9</v>
      </c>
      <c r="E12" s="8" t="s">
        <v>10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9">
        <v>1.0</v>
      </c>
      <c r="B13" s="10" t="s">
        <v>11</v>
      </c>
      <c r="C13" s="11">
        <f>'Auer Packaging'!F9</f>
        <v>93.156</v>
      </c>
      <c r="D13" s="12" t="s">
        <v>12</v>
      </c>
      <c r="E13" s="9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3">
        <v>2.0</v>
      </c>
      <c r="B14" s="14" t="s">
        <v>13</v>
      </c>
      <c r="C14" s="15">
        <f>Thomann!F8</f>
        <v>428</v>
      </c>
      <c r="D14" s="16" t="s">
        <v>12</v>
      </c>
      <c r="E14" s="13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9">
        <v>3.0</v>
      </c>
      <c r="B15" s="17" t="s">
        <v>14</v>
      </c>
      <c r="C15" s="11">
        <f>LeroyMerlin!F6</f>
        <v>169</v>
      </c>
      <c r="D15" s="12" t="s">
        <v>12</v>
      </c>
      <c r="E15" s="9"/>
      <c r="F15" s="2"/>
      <c r="G15" s="2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3">
        <v>4.0</v>
      </c>
      <c r="B16" s="14" t="s">
        <v>15</v>
      </c>
      <c r="C16" s="18">
        <f>Amazon!F9</f>
        <v>161.36</v>
      </c>
      <c r="D16" s="16" t="s">
        <v>12</v>
      </c>
      <c r="E16" s="13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9">
        <v>5.0</v>
      </c>
      <c r="B17" s="19" t="s">
        <v>16</v>
      </c>
      <c r="C17" s="11">
        <f>AliExpress!F12</f>
        <v>87.66</v>
      </c>
      <c r="D17" s="12" t="s">
        <v>12</v>
      </c>
      <c r="E17" s="9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3">
        <v>6.0</v>
      </c>
      <c r="B18" s="20"/>
      <c r="C18" s="20"/>
      <c r="D18" s="20"/>
      <c r="E18" s="13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9">
        <v>7.0</v>
      </c>
      <c r="B19" s="21"/>
      <c r="C19" s="21"/>
      <c r="D19" s="21"/>
      <c r="E19" s="9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3">
        <v>8.0</v>
      </c>
      <c r="B20" s="20"/>
      <c r="C20" s="20"/>
      <c r="D20" s="20"/>
      <c r="E20" s="13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9">
        <v>9.0</v>
      </c>
      <c r="B21" s="21"/>
      <c r="C21" s="21"/>
      <c r="D21" s="21"/>
      <c r="E21" s="9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3">
        <v>10.0</v>
      </c>
      <c r="B22" s="20"/>
      <c r="C22" s="20"/>
      <c r="D22" s="20"/>
      <c r="E22" s="1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9">
        <v>11.0</v>
      </c>
      <c r="B23" s="21"/>
      <c r="C23" s="21"/>
      <c r="D23" s="21"/>
      <c r="E23" s="9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3">
        <v>12.0</v>
      </c>
      <c r="B24" s="20"/>
      <c r="C24" s="20"/>
      <c r="D24" s="20"/>
      <c r="E24" s="13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9">
        <v>13.0</v>
      </c>
      <c r="B25" s="21"/>
      <c r="C25" s="21"/>
      <c r="D25" s="21"/>
      <c r="E25" s="9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3">
        <v>14.0</v>
      </c>
      <c r="B26" s="20"/>
      <c r="C26" s="20"/>
      <c r="D26" s="20"/>
      <c r="E26" s="1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9">
        <v>15.0</v>
      </c>
      <c r="B27" s="21"/>
      <c r="C27" s="21"/>
      <c r="D27" s="21"/>
      <c r="E27" s="9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3">
        <v>16.0</v>
      </c>
      <c r="B28" s="20"/>
      <c r="C28" s="20"/>
      <c r="D28" s="20"/>
      <c r="E28" s="1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9">
        <v>17.0</v>
      </c>
      <c r="B29" s="21"/>
      <c r="C29" s="21"/>
      <c r="D29" s="21"/>
      <c r="E29" s="9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3">
        <v>18.0</v>
      </c>
      <c r="B30" s="20"/>
      <c r="C30" s="20"/>
      <c r="D30" s="20"/>
      <c r="E30" s="1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9">
        <v>19.0</v>
      </c>
      <c r="B31" s="21"/>
      <c r="C31" s="21"/>
      <c r="D31" s="21"/>
      <c r="E31" s="9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2">
        <v>20.0</v>
      </c>
      <c r="B32" s="23"/>
      <c r="C32" s="23"/>
      <c r="D32" s="23"/>
      <c r="E32" s="2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24"/>
      <c r="B33" s="25"/>
      <c r="C33" s="26">
        <f>SUM(C13:C32)</f>
        <v>939.176</v>
      </c>
      <c r="D33" s="25"/>
      <c r="E33" s="24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6.13"/>
    <col customWidth="1" min="2" max="2" width="16.25"/>
    <col customWidth="1" min="3" max="3" width="15.75"/>
    <col customWidth="1" min="4" max="4" width="16.75"/>
    <col customWidth="1" min="5" max="5" width="10.5"/>
    <col customWidth="1" min="6" max="6" width="15.13"/>
    <col customWidth="1" min="7" max="26" width="10.5"/>
  </cols>
  <sheetData>
    <row r="1" ht="13.5" customHeight="1">
      <c r="A1" s="27" t="s">
        <v>17</v>
      </c>
      <c r="B1" s="28" t="s">
        <v>7</v>
      </c>
      <c r="C1" s="28" t="s">
        <v>18</v>
      </c>
      <c r="D1" s="29" t="s">
        <v>19</v>
      </c>
      <c r="E1" s="29" t="s">
        <v>20</v>
      </c>
      <c r="F1" s="29" t="s">
        <v>21</v>
      </c>
      <c r="G1" s="3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31" t="s">
        <v>22</v>
      </c>
      <c r="B2" s="32" t="s">
        <v>11</v>
      </c>
      <c r="C2" s="33" t="s">
        <v>23</v>
      </c>
      <c r="D2" s="10">
        <v>3.58</v>
      </c>
      <c r="E2" s="12">
        <v>13.0</v>
      </c>
      <c r="F2" s="11">
        <f t="shared" ref="F2:F6" si="1">D2*E2</f>
        <v>46.54</v>
      </c>
    </row>
    <row r="3" ht="12.75" customHeight="1">
      <c r="A3" s="31" t="s">
        <v>24</v>
      </c>
      <c r="B3" s="32" t="s">
        <v>11</v>
      </c>
      <c r="C3" s="34" t="s">
        <v>25</v>
      </c>
      <c r="D3" s="35">
        <v>0.61</v>
      </c>
      <c r="E3" s="12">
        <v>13.0</v>
      </c>
      <c r="F3" s="11">
        <f t="shared" si="1"/>
        <v>7.93</v>
      </c>
    </row>
    <row r="4" ht="12.75" customHeight="1">
      <c r="A4" s="31" t="s">
        <v>26</v>
      </c>
      <c r="B4" s="32" t="s">
        <v>11</v>
      </c>
      <c r="C4" s="34" t="s">
        <v>27</v>
      </c>
      <c r="D4" s="35">
        <v>0.82</v>
      </c>
      <c r="E4" s="12">
        <v>13.0</v>
      </c>
      <c r="F4" s="11">
        <f t="shared" si="1"/>
        <v>10.66</v>
      </c>
    </row>
    <row r="5" ht="12.75" customHeight="1">
      <c r="A5" s="36" t="s">
        <v>28</v>
      </c>
      <c r="D5" s="12">
        <f>SUM(F2+F3+F4)*20/100</f>
        <v>13.026</v>
      </c>
      <c r="E5" s="12">
        <v>1.0</v>
      </c>
      <c r="F5" s="11">
        <f t="shared" si="1"/>
        <v>13.026</v>
      </c>
    </row>
    <row r="6" ht="12.75" customHeight="1">
      <c r="A6" s="37" t="s">
        <v>29</v>
      </c>
      <c r="D6" s="12">
        <v>15.0</v>
      </c>
      <c r="E6" s="12">
        <v>1.0</v>
      </c>
      <c r="F6" s="11">
        <f t="shared" si="1"/>
        <v>15</v>
      </c>
    </row>
    <row r="7" ht="12.75" customHeight="1"/>
    <row r="8" ht="12.75" customHeight="1"/>
    <row r="9" ht="12.75" customHeight="1">
      <c r="E9" s="21" t="s">
        <v>30</v>
      </c>
      <c r="F9" s="38">
        <f>SUM(F2+F3+F4+F5+F6)</f>
        <v>93.156</v>
      </c>
    </row>
    <row r="10" ht="12.75" customHeight="1"/>
    <row r="11" ht="12.75" customHeight="1"/>
    <row r="12" ht="12.75" customHeight="1"/>
    <row r="13" ht="12.75" customHeight="1">
      <c r="A13" s="31"/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>
      <c r="A23" s="39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B2"/>
    <hyperlink r:id="rId2" ref="C2"/>
    <hyperlink r:id="rId3" ref="B3"/>
    <hyperlink r:id="rId4" ref="C3"/>
    <hyperlink r:id="rId5" ref="B4"/>
    <hyperlink r:id="rId6" ref="C4"/>
  </hyperlinks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6.13"/>
    <col customWidth="1" min="2" max="2" width="16.25"/>
    <col customWidth="1" min="3" max="3" width="23.13"/>
    <col customWidth="1" min="4" max="4" width="16.75"/>
    <col customWidth="1" min="5" max="5" width="10.5"/>
    <col customWidth="1" min="6" max="6" width="15.13"/>
    <col customWidth="1" min="7" max="26" width="10.5"/>
  </cols>
  <sheetData>
    <row r="1" ht="13.5" customHeight="1">
      <c r="A1" s="27" t="s">
        <v>17</v>
      </c>
      <c r="B1" s="28" t="s">
        <v>7</v>
      </c>
      <c r="C1" s="28" t="s">
        <v>18</v>
      </c>
      <c r="D1" s="29" t="s">
        <v>19</v>
      </c>
      <c r="E1" s="29" t="s">
        <v>20</v>
      </c>
      <c r="F1" s="29" t="s">
        <v>21</v>
      </c>
      <c r="G1" s="3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31" t="s">
        <v>31</v>
      </c>
      <c r="B2" s="40" t="s">
        <v>13</v>
      </c>
      <c r="C2" s="41">
        <v>315631.0</v>
      </c>
      <c r="D2" s="35">
        <v>369.0</v>
      </c>
      <c r="E2" s="10">
        <v>1.0</v>
      </c>
      <c r="F2" s="11">
        <f t="shared" ref="F2:F5" si="1">D2*E2</f>
        <v>369</v>
      </c>
    </row>
    <row r="3">
      <c r="A3" s="31" t="s">
        <v>32</v>
      </c>
      <c r="B3" s="40" t="s">
        <v>13</v>
      </c>
      <c r="C3" s="34">
        <v>359080.0</v>
      </c>
      <c r="D3" s="35">
        <v>59.0</v>
      </c>
      <c r="E3" s="10">
        <v>1.0</v>
      </c>
      <c r="F3" s="11">
        <f t="shared" si="1"/>
        <v>59</v>
      </c>
    </row>
    <row r="4">
      <c r="A4" s="42" t="s">
        <v>33</v>
      </c>
      <c r="B4" s="40" t="s">
        <v>13</v>
      </c>
      <c r="C4" s="34">
        <v>128550.0</v>
      </c>
      <c r="D4" s="10">
        <v>4.44</v>
      </c>
      <c r="E4" s="10">
        <v>2.0</v>
      </c>
      <c r="F4" s="11">
        <f t="shared" si="1"/>
        <v>8.88</v>
      </c>
    </row>
    <row r="5" ht="12.75" customHeight="1">
      <c r="A5" s="43" t="s">
        <v>29</v>
      </c>
      <c r="C5" s="44"/>
      <c r="D5" s="10">
        <v>0.0</v>
      </c>
      <c r="E5" s="12">
        <v>1.0</v>
      </c>
      <c r="F5" s="11">
        <f t="shared" si="1"/>
        <v>0</v>
      </c>
    </row>
    <row r="6" ht="12.75" customHeight="1"/>
    <row r="7" ht="12.75" customHeight="1"/>
    <row r="8" ht="12.75" customHeight="1">
      <c r="E8" s="21" t="s">
        <v>30</v>
      </c>
      <c r="F8" s="38">
        <f>SUM(F2+F3+F5)</f>
        <v>428</v>
      </c>
    </row>
    <row r="9" ht="12.75" customHeight="1"/>
    <row r="10" ht="12.75" customHeight="1"/>
    <row r="11" ht="12.75" customHeight="1"/>
    <row r="12" ht="12.75" customHeight="1">
      <c r="A12" s="31"/>
    </row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>
      <c r="A22" s="39"/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hyperlinks>
    <hyperlink r:id="rId1" ref="B2"/>
    <hyperlink r:id="rId2" ref="C2"/>
    <hyperlink r:id="rId3" ref="B3"/>
    <hyperlink r:id="rId4" ref="C3"/>
    <hyperlink r:id="rId5" ref="B4"/>
    <hyperlink r:id="rId6" ref="C4"/>
  </hyperlinks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0.38"/>
    <col customWidth="1" min="2" max="2" width="12.63"/>
    <col customWidth="1" min="3" max="3" width="15.75"/>
    <col customWidth="1" min="4" max="4" width="16.75"/>
    <col customWidth="1" min="5" max="5" width="10.13"/>
    <col customWidth="1" min="6" max="6" width="14.5"/>
    <col customWidth="1" min="7" max="26" width="10.5"/>
  </cols>
  <sheetData>
    <row r="1" ht="21.0" customHeight="1">
      <c r="A1" s="27" t="s">
        <v>17</v>
      </c>
      <c r="B1" s="28" t="s">
        <v>7</v>
      </c>
      <c r="C1" s="28" t="s">
        <v>18</v>
      </c>
      <c r="D1" s="29" t="s">
        <v>19</v>
      </c>
      <c r="E1" s="29" t="s">
        <v>20</v>
      </c>
      <c r="F1" s="29" t="s">
        <v>21</v>
      </c>
    </row>
    <row r="2" ht="12.75" customHeight="1">
      <c r="A2" s="45" t="s">
        <v>34</v>
      </c>
      <c r="B2" s="46" t="s">
        <v>35</v>
      </c>
      <c r="C2" s="47">
        <v>3.5208803E7</v>
      </c>
      <c r="D2" s="12">
        <v>16.9</v>
      </c>
      <c r="E2" s="12">
        <v>5.0</v>
      </c>
      <c r="F2" s="11">
        <f t="shared" ref="F2:F3" si="1">D2*E2</f>
        <v>84.5</v>
      </c>
    </row>
    <row r="3" ht="12.75" customHeight="1">
      <c r="A3" s="48" t="s">
        <v>36</v>
      </c>
      <c r="B3" s="46" t="s">
        <v>35</v>
      </c>
      <c r="C3" s="46">
        <v>3.5208782E7</v>
      </c>
      <c r="D3" s="12">
        <v>16.9</v>
      </c>
      <c r="E3" s="21">
        <v>5.0</v>
      </c>
      <c r="F3" s="11">
        <f t="shared" si="1"/>
        <v>84.5</v>
      </c>
    </row>
    <row r="4" ht="12.75" customHeight="1">
      <c r="A4" s="21" t="s">
        <v>37</v>
      </c>
      <c r="B4" s="21"/>
      <c r="C4" s="21"/>
      <c r="D4" s="21"/>
      <c r="E4" s="12"/>
      <c r="F4" s="49">
        <v>0.0</v>
      </c>
    </row>
    <row r="5" ht="12.75" customHeight="1">
      <c r="A5" s="43"/>
      <c r="B5" s="21"/>
      <c r="C5" s="50"/>
      <c r="D5" s="21"/>
      <c r="E5" s="12"/>
      <c r="F5" s="11"/>
    </row>
    <row r="6" ht="12.75" customHeight="1">
      <c r="A6" s="43"/>
      <c r="B6" s="21"/>
      <c r="C6" s="50"/>
      <c r="D6" s="43"/>
      <c r="E6" s="21" t="s">
        <v>30</v>
      </c>
      <c r="F6" s="38">
        <f>SUM(F2:F4)</f>
        <v>169</v>
      </c>
    </row>
    <row r="7" ht="12.75" customHeight="1">
      <c r="A7" s="43"/>
      <c r="B7" s="21"/>
      <c r="C7" s="50"/>
      <c r="D7" s="43"/>
      <c r="E7" s="12"/>
      <c r="F7" s="11"/>
    </row>
    <row r="8" ht="12.75" customHeight="1">
      <c r="A8" s="43"/>
      <c r="B8" s="21"/>
      <c r="C8" s="50"/>
      <c r="D8" s="21"/>
      <c r="E8" s="12"/>
      <c r="F8" s="11"/>
    </row>
    <row r="9" ht="12.75" customHeight="1">
      <c r="A9" s="43"/>
      <c r="B9" s="21"/>
      <c r="C9" s="50"/>
      <c r="D9" s="21"/>
      <c r="E9" s="12"/>
      <c r="F9" s="11"/>
    </row>
    <row r="10" ht="15.0" customHeight="1">
      <c r="A10" s="42" t="s">
        <v>38</v>
      </c>
      <c r="B10" s="21"/>
      <c r="C10" s="21"/>
      <c r="D10" s="43"/>
      <c r="E10" s="12"/>
      <c r="F10" s="11"/>
    </row>
    <row r="11" ht="12.75" customHeight="1">
      <c r="A11" s="43"/>
      <c r="B11" s="21"/>
      <c r="C11" s="50"/>
      <c r="D11" s="43"/>
      <c r="E11" s="12"/>
      <c r="F11" s="11"/>
    </row>
    <row r="12" ht="13.5" customHeight="1">
      <c r="A12" s="21"/>
      <c r="B12" s="21"/>
      <c r="C12" s="50"/>
      <c r="D12" s="21"/>
      <c r="E12" s="12"/>
      <c r="F12" s="11"/>
    </row>
    <row r="13" ht="13.5" customHeight="1">
      <c r="A13" s="21"/>
      <c r="B13" s="21"/>
      <c r="C13" s="21"/>
      <c r="D13" s="21"/>
      <c r="E13" s="12"/>
      <c r="F13" s="49"/>
    </row>
    <row r="14" ht="13.5" customHeight="1">
      <c r="A14" s="51"/>
      <c r="B14" s="21"/>
      <c r="C14" s="21"/>
      <c r="D14" s="21"/>
      <c r="E14" s="12"/>
      <c r="F14" s="11"/>
    </row>
    <row r="15" ht="13.5" customHeight="1">
      <c r="A15" s="51"/>
      <c r="B15" s="21"/>
      <c r="C15" s="21"/>
      <c r="D15" s="21"/>
      <c r="E15" s="12"/>
      <c r="F15" s="11"/>
    </row>
    <row r="16" ht="13.5" customHeight="1">
      <c r="A16" s="51"/>
      <c r="B16" s="12"/>
      <c r="C16" s="21"/>
      <c r="D16" s="21"/>
      <c r="E16" s="12"/>
      <c r="F16" s="11"/>
    </row>
    <row r="17" ht="12.75" customHeight="1">
      <c r="A17" s="21"/>
      <c r="B17" s="12"/>
      <c r="C17" s="21"/>
      <c r="D17" s="21"/>
      <c r="E17" s="12"/>
      <c r="F17" s="12"/>
    </row>
    <row r="18" ht="12.75" customHeight="1">
      <c r="A18" s="21"/>
      <c r="B18" s="21"/>
      <c r="C18" s="21"/>
      <c r="D18" s="21"/>
      <c r="E18" s="21"/>
      <c r="F18" s="21"/>
      <c r="G18" s="21"/>
    </row>
    <row r="19" ht="12.75" customHeight="1">
      <c r="A19" s="1"/>
      <c r="B19" s="1"/>
      <c r="C19" s="1"/>
      <c r="D19" s="1"/>
      <c r="E19" s="1"/>
      <c r="F19" s="1"/>
    </row>
    <row r="20" ht="12.75" customHeight="1">
      <c r="A20" s="1"/>
      <c r="B20" s="1"/>
      <c r="C20" s="1"/>
      <c r="D20" s="1"/>
      <c r="E20" s="1"/>
      <c r="F20" s="1"/>
    </row>
    <row r="21" ht="12.75" customHeight="1">
      <c r="A21" s="1"/>
      <c r="B21" s="1"/>
      <c r="C21" s="1"/>
      <c r="D21" s="1"/>
      <c r="E21" s="1"/>
      <c r="F21" s="1"/>
    </row>
    <row r="22" ht="12.75" customHeight="1">
      <c r="A22" s="1"/>
      <c r="B22" s="1"/>
      <c r="C22" s="1"/>
      <c r="D22" s="1"/>
      <c r="E22" s="1"/>
      <c r="F22" s="1"/>
    </row>
    <row r="23" ht="12.75" customHeight="1">
      <c r="A23" s="1"/>
      <c r="B23" s="1"/>
      <c r="C23" s="1"/>
      <c r="D23" s="1"/>
      <c r="E23" s="1"/>
      <c r="F23" s="1"/>
    </row>
    <row r="24" ht="12.75" customHeight="1">
      <c r="A24" s="1"/>
      <c r="B24" s="1"/>
      <c r="C24" s="1"/>
      <c r="D24" s="1"/>
      <c r="E24" s="1"/>
      <c r="F24" s="1"/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</sheetData>
  <hyperlinks>
    <hyperlink r:id="rId1" ref="B2"/>
    <hyperlink r:id="rId2" ref="C2"/>
    <hyperlink r:id="rId3" ref="B3"/>
    <hyperlink r:id="rId4" ref="C3"/>
  </hyperlinks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6.13"/>
    <col customWidth="1" min="2" max="2" width="16.25"/>
    <col customWidth="1" min="3" max="3" width="23.13"/>
    <col customWidth="1" min="4" max="4" width="16.75"/>
    <col customWidth="1" min="5" max="5" width="10.5"/>
    <col customWidth="1" min="6" max="6" width="15.13"/>
    <col customWidth="1" min="7" max="26" width="10.5"/>
  </cols>
  <sheetData>
    <row r="1" ht="13.5" customHeight="1">
      <c r="A1" s="27" t="s">
        <v>17</v>
      </c>
      <c r="B1" s="28" t="s">
        <v>7</v>
      </c>
      <c r="C1" s="28" t="s">
        <v>18</v>
      </c>
      <c r="D1" s="29" t="s">
        <v>19</v>
      </c>
      <c r="E1" s="29" t="s">
        <v>20</v>
      </c>
      <c r="F1" s="29" t="s">
        <v>21</v>
      </c>
      <c r="G1" s="3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1" t="s">
        <v>39</v>
      </c>
      <c r="B2" s="40" t="s">
        <v>15</v>
      </c>
      <c r="C2" s="52" t="s">
        <v>40</v>
      </c>
      <c r="D2" s="31">
        <v>97.05</v>
      </c>
      <c r="E2" s="10">
        <v>1.0</v>
      </c>
      <c r="F2" s="53">
        <f t="shared" ref="F2:F6" si="1">D2*E2</f>
        <v>97.05</v>
      </c>
    </row>
    <row r="3">
      <c r="A3" s="31" t="s">
        <v>41</v>
      </c>
      <c r="B3" s="40" t="s">
        <v>15</v>
      </c>
      <c r="C3" s="54" t="s">
        <v>42</v>
      </c>
      <c r="D3" s="10">
        <v>24.52</v>
      </c>
      <c r="E3" s="10">
        <v>1.0</v>
      </c>
      <c r="F3" s="53">
        <f t="shared" si="1"/>
        <v>24.52</v>
      </c>
    </row>
    <row r="4">
      <c r="A4" s="55" t="s">
        <v>43</v>
      </c>
      <c r="B4" s="40" t="s">
        <v>15</v>
      </c>
      <c r="C4" s="54" t="s">
        <v>44</v>
      </c>
      <c r="D4" s="10">
        <v>27.8</v>
      </c>
      <c r="E4" s="10">
        <v>1.0</v>
      </c>
      <c r="F4" s="53">
        <f t="shared" si="1"/>
        <v>27.8</v>
      </c>
    </row>
    <row r="5">
      <c r="A5" s="31" t="s">
        <v>45</v>
      </c>
      <c r="B5" s="40" t="s">
        <v>15</v>
      </c>
      <c r="C5" s="54" t="s">
        <v>46</v>
      </c>
      <c r="D5" s="10">
        <v>11.99</v>
      </c>
      <c r="E5" s="10">
        <v>1.0</v>
      </c>
      <c r="F5" s="53">
        <f t="shared" si="1"/>
        <v>11.99</v>
      </c>
    </row>
    <row r="6" ht="12.75" customHeight="1">
      <c r="A6" s="43" t="s">
        <v>29</v>
      </c>
      <c r="D6" s="10"/>
      <c r="E6" s="12"/>
      <c r="F6" s="11">
        <f t="shared" si="1"/>
        <v>0</v>
      </c>
    </row>
    <row r="7" ht="12.75" customHeight="1"/>
    <row r="8" ht="12.75" customHeight="1"/>
    <row r="9" ht="12.75" customHeight="1">
      <c r="E9" s="21" t="s">
        <v>30</v>
      </c>
      <c r="F9" s="38">
        <f>SUM(F2:F6)</f>
        <v>161.36</v>
      </c>
    </row>
    <row r="10" ht="12.75" customHeight="1"/>
    <row r="11" ht="12.75" customHeight="1"/>
    <row r="12" ht="12.75" customHeight="1"/>
    <row r="13" ht="12.75" customHeight="1">
      <c r="A13" s="31"/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>
      <c r="A23" s="39"/>
    </row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</hyperlinks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0.88"/>
    <col customWidth="1" min="2" max="2" width="16.25"/>
    <col customWidth="1" min="3" max="3" width="23.13"/>
    <col customWidth="1" min="4" max="4" width="16.75"/>
    <col customWidth="1" min="5" max="5" width="10.5"/>
    <col customWidth="1" min="6" max="6" width="15.13"/>
    <col customWidth="1" min="7" max="26" width="10.5"/>
  </cols>
  <sheetData>
    <row r="1" ht="13.5" customHeight="1">
      <c r="A1" s="27" t="s">
        <v>17</v>
      </c>
      <c r="B1" s="28" t="s">
        <v>7</v>
      </c>
      <c r="C1" s="28" t="s">
        <v>18</v>
      </c>
      <c r="D1" s="29" t="s">
        <v>19</v>
      </c>
      <c r="E1" s="29" t="s">
        <v>20</v>
      </c>
      <c r="F1" s="29" t="s">
        <v>21</v>
      </c>
      <c r="G1" s="3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1" t="s">
        <v>47</v>
      </c>
      <c r="B2" s="40" t="s">
        <v>48</v>
      </c>
      <c r="C2" s="34" t="s">
        <v>49</v>
      </c>
      <c r="D2" s="35">
        <v>30.39</v>
      </c>
      <c r="E2" s="10">
        <v>1.0</v>
      </c>
      <c r="F2" s="53">
        <f t="shared" ref="F2:F9" si="1">D2*E2</f>
        <v>30.39</v>
      </c>
    </row>
    <row r="3">
      <c r="A3" s="56" t="s">
        <v>50</v>
      </c>
      <c r="B3" s="57" t="s">
        <v>48</v>
      </c>
      <c r="C3" s="57" t="s">
        <v>51</v>
      </c>
      <c r="D3" s="58">
        <v>15.99</v>
      </c>
      <c r="E3" s="58">
        <v>1.0</v>
      </c>
      <c r="F3" s="59">
        <f t="shared" si="1"/>
        <v>15.99</v>
      </c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>
      <c r="A4" s="31" t="s">
        <v>52</v>
      </c>
      <c r="B4" s="40" t="s">
        <v>48</v>
      </c>
      <c r="C4" s="34" t="s">
        <v>51</v>
      </c>
      <c r="D4" s="10">
        <v>15.99</v>
      </c>
      <c r="E4" s="10">
        <v>1.0</v>
      </c>
      <c r="F4" s="53">
        <f t="shared" si="1"/>
        <v>15.99</v>
      </c>
    </row>
    <row r="5">
      <c r="A5" s="31" t="s">
        <v>53</v>
      </c>
      <c r="B5" s="40" t="s">
        <v>48</v>
      </c>
      <c r="C5" s="34" t="s">
        <v>51</v>
      </c>
      <c r="D5" s="10">
        <v>15.99</v>
      </c>
      <c r="E5" s="10">
        <v>1.0</v>
      </c>
      <c r="F5" s="53">
        <f t="shared" si="1"/>
        <v>15.99</v>
      </c>
    </row>
    <row r="6">
      <c r="A6" s="31" t="s">
        <v>54</v>
      </c>
      <c r="B6" s="40" t="s">
        <v>48</v>
      </c>
      <c r="C6" s="34" t="s">
        <v>55</v>
      </c>
      <c r="D6" s="10">
        <v>1.71</v>
      </c>
      <c r="E6" s="10">
        <v>1.0</v>
      </c>
      <c r="F6" s="53">
        <f t="shared" si="1"/>
        <v>1.71</v>
      </c>
    </row>
    <row r="7">
      <c r="A7" s="31" t="s">
        <v>56</v>
      </c>
      <c r="B7" s="40" t="s">
        <v>48</v>
      </c>
      <c r="C7" s="34" t="s">
        <v>55</v>
      </c>
      <c r="D7" s="10">
        <v>1.8</v>
      </c>
      <c r="E7" s="10">
        <v>1.0</v>
      </c>
      <c r="F7" s="53">
        <f t="shared" si="1"/>
        <v>1.8</v>
      </c>
    </row>
    <row r="8">
      <c r="A8" s="31" t="s">
        <v>57</v>
      </c>
      <c r="B8" s="40" t="s">
        <v>48</v>
      </c>
      <c r="C8" s="34" t="s">
        <v>58</v>
      </c>
      <c r="D8" s="10">
        <v>5.79</v>
      </c>
      <c r="E8" s="10">
        <v>1.0</v>
      </c>
      <c r="F8" s="53">
        <f t="shared" si="1"/>
        <v>5.79</v>
      </c>
    </row>
    <row r="9" ht="12.75" customHeight="1">
      <c r="A9" s="43" t="s">
        <v>29</v>
      </c>
      <c r="D9" s="10">
        <v>0.0</v>
      </c>
      <c r="E9" s="12">
        <v>1.0</v>
      </c>
      <c r="F9" s="11">
        <f t="shared" si="1"/>
        <v>0</v>
      </c>
    </row>
    <row r="10" ht="12.75" customHeight="1"/>
    <row r="11" ht="12.75" customHeight="1"/>
    <row r="12" ht="12.75" customHeight="1">
      <c r="E12" s="21" t="s">
        <v>30</v>
      </c>
      <c r="F12" s="38">
        <f>SUM(F2:F9)</f>
        <v>87.66</v>
      </c>
    </row>
    <row r="13" ht="12.75" customHeight="1"/>
    <row r="14" ht="12.75" customHeight="1"/>
    <row r="15" ht="12.75" customHeight="1"/>
    <row r="16" ht="12.75" customHeight="1">
      <c r="A16" s="31"/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>
      <c r="A26" s="39"/>
    </row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</sheetData>
  <hyperlinks>
    <hyperlink r:id="rId1" ref="B2"/>
    <hyperlink r:id="rId2" ref="C2"/>
    <hyperlink r:id="rId3" ref="B3"/>
    <hyperlink r:id="rId4" location="nav-review" ref="C3"/>
    <hyperlink r:id="rId5" ref="B4"/>
    <hyperlink r:id="rId6" location="nav-review" ref="C4"/>
    <hyperlink r:id="rId7" ref="B5"/>
    <hyperlink r:id="rId8" location="nav-review" ref="C5"/>
    <hyperlink r:id="rId9" ref="B6"/>
    <hyperlink r:id="rId10" ref="C6"/>
    <hyperlink r:id="rId11" ref="B7"/>
    <hyperlink r:id="rId12" ref="C7"/>
    <hyperlink r:id="rId13" ref="B8"/>
    <hyperlink r:id="rId14" ref="C8"/>
  </hyperlinks>
  <printOptions/>
  <pageMargins bottom="1.05277777777778" footer="0.0" header="0.0" left="0.7875" right="0.7875" top="1.05277777777778"/>
  <pageSetup paperSize="9" orientation="portrait"/>
  <headerFooter>
    <oddHeader>&amp;Cffffff&amp;A</oddHeader>
    <oddFooter>&amp;CffffffPage &amp;P</oddFooter>
  </headerFooter>
  <drawing r:id="rId1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2020-01-20T16:25:04Z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