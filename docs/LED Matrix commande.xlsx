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Amazon" sheetId="2" r:id="rId5"/>
    <sheet state="visible" name="AliExpress" sheetId="3" r:id="rId6"/>
  </sheets>
  <definedNames/>
  <calcPr/>
</workbook>
</file>

<file path=xl/sharedStrings.xml><?xml version="1.0" encoding="utf-8"?>
<sst xmlns="http://schemas.openxmlformats.org/spreadsheetml/2006/main" count="45" uniqueCount="31">
  <si>
    <t>Date :</t>
  </si>
  <si>
    <t>Pôle :</t>
  </si>
  <si>
    <t>42 Chips</t>
  </si>
  <si>
    <t>Responsable :</t>
  </si>
  <si>
    <t>Marie-Ange Ferracci</t>
  </si>
  <si>
    <t>DEMANDE DE DEPENSE</t>
  </si>
  <si>
    <t>Fournisseur</t>
  </si>
  <si>
    <t>TTC</t>
  </si>
  <si>
    <t>Commentaires</t>
  </si>
  <si>
    <t>Validation 42</t>
  </si>
  <si>
    <t>Amazon</t>
  </si>
  <si>
    <t>Equipements Labelec</t>
  </si>
  <si>
    <t>Aliexpress</t>
  </si>
  <si>
    <t>Commentaire</t>
  </si>
  <si>
    <t>RefFournisseur</t>
  </si>
  <si>
    <t>PrixUnitaire (HT)</t>
  </si>
  <si>
    <t>Quantitée</t>
  </si>
  <si>
    <t>PrixTotal (TTC)</t>
  </si>
  <si>
    <t>Alim 5v - 20A</t>
  </si>
  <si>
    <t>Alim</t>
  </si>
  <si>
    <t>Prise male</t>
  </si>
  <si>
    <t>Total (TTC)</t>
  </si>
  <si>
    <t xml:space="preserve">LEDs adressables (50pcs) </t>
  </si>
  <si>
    <t>AliExpress</t>
  </si>
  <si>
    <t>LEDS</t>
  </si>
  <si>
    <t>5.59</t>
  </si>
  <si>
    <t>Balles ping pong (10pcs)</t>
  </si>
  <si>
    <t>Balles</t>
  </si>
  <si>
    <t>0.99</t>
  </si>
  <si>
    <t>ESP32 + shield</t>
  </si>
  <si>
    <t>ESP32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</si>
</sst>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#,##0.00\ [$€-40C];[RED]\-#,##0.00\ [$€-40C]"/>
    <numFmt numFmtId="166" formatCode="dd.mm"/>
  </numFmts>
  <fonts count="17">
    <font>
      <sz val="11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36.0"/>
      <color theme="1"/>
      <name val="Calibri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u/>
      <color rgb="FF0000FF"/>
    </font>
    <font>
      <u/>
      <sz val="12.0"/>
      <color rgb="FF0000FF"/>
    </font>
    <font>
      <color theme="1"/>
      <name val="Arial"/>
    </font>
    <font>
      <sz val="12.0"/>
      <color rgb="FF0563C1"/>
      <name val="Arial"/>
    </font>
    <font>
      <u/>
      <sz val="12.0"/>
      <color rgb="FF0000FF"/>
      <name val="Arial"/>
    </font>
    <font>
      <sz val="12.0"/>
      <color theme="1"/>
      <name val="Arial"/>
      <scheme val="minor"/>
    </font>
    <font>
      <u/>
      <sz val="12.0"/>
      <color rgb="FF0563C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3" fillId="3" fontId="3" numFmtId="0" xfId="0" applyAlignment="1" applyBorder="1" applyFill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4" fillId="3" fontId="5" numFmtId="165" xfId="0" applyAlignment="1" applyBorder="1" applyFont="1" applyNumberFormat="1">
      <alignment shrinkToFit="0" vertical="bottom" wrapText="0"/>
    </xf>
    <xf borderId="0" fillId="4" fontId="6" numFmtId="0" xfId="0" applyAlignment="1" applyFill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6" fillId="3" fontId="3" numFmtId="0" xfId="0" applyAlignment="1" applyBorder="1" applyFont="1">
      <alignment shrinkToFit="0" vertical="bottom" wrapText="0"/>
    </xf>
    <xf borderId="7" fillId="3" fontId="5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8" fillId="0" fontId="3" numFmtId="165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166" xfId="0" applyAlignment="1" applyFont="1" applyNumberFormat="1">
      <alignment readingOrder="0"/>
    </xf>
    <xf borderId="4" fillId="5" fontId="5" numFmtId="165" xfId="0" applyAlignment="1" applyBorder="1" applyFill="1" applyFont="1" applyNumberFormat="1">
      <alignment readingOrder="0" shrinkToFit="0" vertical="bottom" wrapText="0"/>
    </xf>
    <xf borderId="0" fillId="0" fontId="5" numFmtId="0" xfId="0" applyFont="1"/>
    <xf borderId="0" fillId="0" fontId="1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5" numFmtId="0" xfId="0" applyFont="1"/>
    <xf borderId="0" fillId="0" fontId="16" numFmtId="0" xfId="0" applyAlignment="1" applyFont="1">
      <alignment readingOrder="0"/>
    </xf>
    <xf borderId="4" fillId="5" fontId="5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</xdr:row>
      <xdr:rowOff>47625</xdr:rowOff>
    </xdr:from>
    <xdr:ext cx="1666875" cy="1200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fr/switching-ANGEEK-transformer-constant-surveillance/dp/B0BX2L1HS6?crid=158F6P6FXYY57&amp;dib=eyJ2IjoiMSJ9.84WoVk-_mQSJBEkyyOCNxtZ3CzYwfdJb_-HhWey89CuPOcbrTJqTETr1qCBF_ZKDj4_G1ImHM26huZgQIOBD-FAbcQ_XPSYhJP34llyLvUy9NqX1u2Su6421WKMiaz_t8HVf9yb9S1wlkaJ4Hjs9EHnb2-on7LOALB7pM3iYPpkJjE9nEozSvVbjY77q8qdJHi5kOf2JS3XE0Ve2p4Gg04E40LoynJgcaXxp7ka3UvgIMkxPcSvn41cc3CTCkA7ghXB2TgEhAgY3on6grdpYa83W4Fu5h7OOxxpkTGaxSnk.5VvwIrsQ0ojBTF_tvKAt03QmvY47gpB1tP-N-gJXfcA&amp;dib_tag=se&amp;keywords=alim%2B5v%2B20a&amp;qid=1744125744&amp;sprefix=alim%2B5v%2B%2Caps%2C80&amp;sr=8-5&amp;th=1" TargetMode="External"/><Relationship Id="rId2" Type="http://schemas.openxmlformats.org/officeDocument/2006/relationships/hyperlink" Target="https://www.amazon.fr/Ritter-0577333555-H05VV-F-C%C3%A2ble-dalimentation/dp/B001B4TLFE?__mk_fr_FR=%C3%85M%C3%85%C5%BD%C3%95%C3%91&amp;crid=1YP2RFA6K5XKY&amp;dib=eyJ2IjoiMSJ9.Z2GdMc9u6OuVydqFdx8a_3qibXBdwXXqJhgVV3MCZG5tH5aAAXwpVSHAmVNnLyQOcp3wdL05H7OEiYZnvWFu9pvTQkjeBGQBjhxaB4nFROLDbI5fO4QYpc6ekeAI0nrUKXI1pN4ogig297fb7mLin7uoV9UujJUgDdOrJ_nZWmdUADiGAvZXej3fr3KAsOGydKiGLooTbfZN5geTycyqzE-x8LzuFZLUl9wIetSEvmENhFkoJVTczLxqW7VHFNbSTrcxxiWkZY2VIs1cVsPra5DwBAwEpJhIaLG3YeVEYyA.P7prHdD9_XV_2PPT-LNWbMmDkEK0V6xUf0elgumkfY8&amp;dib_tag=se&amp;keywords=prise%2Belectrique%2Bmale%2Bavec%2Bfil&amp;qid=1744125687&amp;sprefix=prise%2Belectrique%2Bmale%2Bavec%2Bfils%2Caps%2C79&amp;sr=8-8&amp;th=1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r.aliexpress.com/item/1005007202257473.html?spm=a2g0o.detail.pcDetailTopMoreOtherSeller.1.28e56d03Zor27g&amp;gps-id=pcDetailTopMoreOtherSeller&amp;scm=1007.40196.417130.0&amp;scm_id=1007.40196.417130.0&amp;scm-url=1007.40196.417130.0&amp;pvid=f8e2de1d-b451-4b60-a078-da97f7d0e11f&amp;_t=gps-id:pcDetailTopMoreOtherSeller,scm-url:1007.40196.417130.0,pvid:f8e2de1d-b451-4b60-a078-da97f7d0e11f,tpp_buckets:668%232846%238107%231934&amp;pdp_ext_f=%7B%22order%22%3A%22115%22%2C%22eval%22%3A%221%22%2C%22sceneId%22%3A%2230050%22%7D&amp;pdp_npi=4%40dis%21EUR%2110.55%215.59%21%21%2111.29%215.99%21%4021038e6617441254168122117e204b%2112000039788908309%21rec%21FR%21%21ABX&amp;utparam-url=scene%3ApcDetailTopMoreOtherSeller%7Cquery_from%3A" TargetMode="External"/><Relationship Id="rId2" Type="http://schemas.openxmlformats.org/officeDocument/2006/relationships/hyperlink" Target="https://fr.aliexpress.com/item/1005005111355086.html?spm=a2g0o.productlist.main.33.53c26b25uTAZ4D&amp;algo_pvid=605edc9d-bce4-47f1-ab80-8d22d4106dc8&amp;algo_exp_id=605edc9d-bce4-47f1-ab80-8d22d4106dc8-16&amp;pdp_ext_f=%7B%22order%22%3A%224%22%2C%22eval%22%3A%221%22%7D&amp;pdp_npi=4%40dis%21EUR%211.69%210.99%21%21%211.81%211.06%21%40211b615317441273631324813e3bec%2112000031698908143%21sea%21FR%210%21ABX&amp;curPageLogUid=ZDuRj632pEqv&amp;utparam-url=scene%3Asearch%7Cquery_from%3A" TargetMode="External"/><Relationship Id="rId3" Type="http://schemas.openxmlformats.org/officeDocument/2006/relationships/hyperlink" Target="https://fr.aliexpress.com/item/1005008470783616.html?spm=a2g0o.productlist.main.9.24f8742ehSMysF&amp;algo_pvid=0f25c86c-6589-4446-8b32-b8d7c7bf69ca&amp;algo_exp_id=0f25c86c-6589-4446-8b32-b8d7c7bf69ca-4&amp;pdp_ext_f=%7B%22order%22%3A%221%22%2C%22eval%22%3A%221%22%7D&amp;pdp_npi=4%40dis%21EUR%211.48%211.48%21%21%211.58%211.58%21%402103985c17441277955231620e3ae7%2112000045291506886%21sea%21FR%210%21ABX&amp;curPageLogUid=d8GmQBHlUvOl&amp;utparam-url=scene%3Asearch%7Cquery_from%3A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2.63"/>
    <col customWidth="1" min="3" max="3" width="29.5"/>
    <col customWidth="1" min="4" max="4" width="46.63"/>
    <col customWidth="1" min="5" max="5" width="21.38"/>
    <col customWidth="1" min="6" max="6" width="40.63"/>
    <col customWidth="1" min="7" max="7" width="25.1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2" t="s">
        <v>0</v>
      </c>
      <c r="D2" s="3">
        <v>45873.0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2" t="s">
        <v>1</v>
      </c>
      <c r="D4" s="4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2" t="s">
        <v>3</v>
      </c>
      <c r="D5" s="4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5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6"/>
      <c r="B12" s="7" t="s">
        <v>6</v>
      </c>
      <c r="C12" s="7" t="s">
        <v>7</v>
      </c>
      <c r="D12" s="7" t="s">
        <v>8</v>
      </c>
      <c r="E12" s="8" t="s">
        <v>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9">
        <v>4.0</v>
      </c>
      <c r="B13" s="10" t="s">
        <v>10</v>
      </c>
      <c r="C13" s="11">
        <f>Amazon!F4</f>
        <v>33.08</v>
      </c>
      <c r="D13" s="12" t="s">
        <v>11</v>
      </c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3">
        <v>5.0</v>
      </c>
      <c r="B14" s="14" t="s">
        <v>12</v>
      </c>
      <c r="C14" s="15">
        <f>AliExpress!F12</f>
        <v>72.72</v>
      </c>
      <c r="D14" s="16" t="s">
        <v>11</v>
      </c>
      <c r="E14" s="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9">
        <v>6.0</v>
      </c>
      <c r="B15" s="10"/>
      <c r="C15" s="10"/>
      <c r="D15" s="10"/>
      <c r="E15" s="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3">
        <v>7.0</v>
      </c>
      <c r="B16" s="14"/>
      <c r="C16" s="14"/>
      <c r="D16" s="14"/>
      <c r="E16" s="1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9">
        <v>8.0</v>
      </c>
      <c r="B17" s="10"/>
      <c r="C17" s="10"/>
      <c r="D17" s="10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3">
        <v>9.0</v>
      </c>
      <c r="B18" s="14"/>
      <c r="C18" s="14"/>
      <c r="D18" s="14"/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9">
        <v>10.0</v>
      </c>
      <c r="B19" s="10"/>
      <c r="C19" s="10"/>
      <c r="D19" s="10"/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3">
        <v>11.0</v>
      </c>
      <c r="B20" s="14"/>
      <c r="C20" s="14"/>
      <c r="D20" s="14"/>
      <c r="E20" s="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9">
        <v>12.0</v>
      </c>
      <c r="B21" s="10"/>
      <c r="C21" s="10"/>
      <c r="D21" s="10"/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3">
        <v>13.0</v>
      </c>
      <c r="B22" s="14"/>
      <c r="C22" s="14"/>
      <c r="D22" s="14"/>
      <c r="E22" s="1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">
        <v>14.0</v>
      </c>
      <c r="B23" s="10"/>
      <c r="C23" s="10"/>
      <c r="D23" s="10"/>
      <c r="E23" s="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3">
        <v>15.0</v>
      </c>
      <c r="B24" s="14"/>
      <c r="C24" s="14"/>
      <c r="D24" s="14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">
        <v>16.0</v>
      </c>
      <c r="B25" s="10"/>
      <c r="C25" s="10"/>
      <c r="D25" s="10"/>
      <c r="E25" s="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3">
        <v>17.0</v>
      </c>
      <c r="B26" s="14"/>
      <c r="C26" s="14"/>
      <c r="D26" s="14"/>
      <c r="E26" s="1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9">
        <v>18.0</v>
      </c>
      <c r="B27" s="10"/>
      <c r="C27" s="10"/>
      <c r="D27" s="10"/>
      <c r="E27" s="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3">
        <v>19.0</v>
      </c>
      <c r="B28" s="14"/>
      <c r="C28" s="14"/>
      <c r="D28" s="14"/>
      <c r="E28" s="1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7">
        <v>20.0</v>
      </c>
      <c r="B29" s="18"/>
      <c r="C29" s="18"/>
      <c r="D29" s="18"/>
      <c r="E29" s="1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9"/>
      <c r="B30" s="20"/>
      <c r="C30" s="21">
        <f>SUM(C13:C29)</f>
        <v>105.8</v>
      </c>
      <c r="D30" s="20"/>
      <c r="E30" s="1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16.25"/>
    <col customWidth="1" min="3" max="3" width="23.13"/>
    <col customWidth="1" min="4" max="4" width="16.75"/>
    <col customWidth="1" min="5" max="5" width="10.5"/>
    <col customWidth="1" min="6" max="6" width="15.13"/>
    <col customWidth="1" min="7" max="26" width="10.5"/>
  </cols>
  <sheetData>
    <row r="1" ht="13.5" customHeight="1">
      <c r="A1" s="22" t="s">
        <v>13</v>
      </c>
      <c r="B1" s="23" t="s">
        <v>6</v>
      </c>
      <c r="C1" s="23" t="s">
        <v>14</v>
      </c>
      <c r="D1" s="24" t="s">
        <v>15</v>
      </c>
      <c r="E1" s="24" t="s">
        <v>16</v>
      </c>
      <c r="F1" s="24" t="s">
        <v>17</v>
      </c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6" t="s">
        <v>18</v>
      </c>
      <c r="B2" s="26" t="s">
        <v>10</v>
      </c>
      <c r="C2" s="27" t="s">
        <v>19</v>
      </c>
      <c r="D2" s="26">
        <v>20.99</v>
      </c>
      <c r="E2" s="26">
        <v>1.0</v>
      </c>
      <c r="F2" s="26">
        <v>20.99</v>
      </c>
    </row>
    <row r="3" ht="12.75" customHeight="1">
      <c r="A3" s="26" t="s">
        <v>20</v>
      </c>
      <c r="B3" s="26" t="s">
        <v>10</v>
      </c>
      <c r="C3" s="27" t="s">
        <v>20</v>
      </c>
      <c r="D3" s="28">
        <v>45912.0</v>
      </c>
      <c r="E3" s="26">
        <v>1.0</v>
      </c>
      <c r="F3" s="26">
        <v>12.09</v>
      </c>
    </row>
    <row r="4" ht="12.75" customHeight="1">
      <c r="E4" s="14" t="s">
        <v>21</v>
      </c>
      <c r="F4" s="29">
        <v>33.08</v>
      </c>
    </row>
    <row r="5" ht="12.75" customHeight="1"/>
    <row r="6" ht="12.75" customHeight="1"/>
    <row r="7" ht="12.75" customHeight="1"/>
    <row r="8" ht="12.75" customHeight="1">
      <c r="A8" s="30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>
      <c r="A18" s="31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hyperlinks>
    <hyperlink r:id="rId1" ref="C2"/>
    <hyperlink r:id="rId2" ref="C3"/>
  </hyperlink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16.25"/>
    <col customWidth="1" min="3" max="3" width="23.13"/>
    <col customWidth="1" min="4" max="4" width="16.75"/>
    <col customWidth="1" min="5" max="5" width="10.5"/>
    <col customWidth="1" min="6" max="6" width="15.13"/>
    <col customWidth="1" min="7" max="26" width="10.5"/>
  </cols>
  <sheetData>
    <row r="1" ht="13.5" customHeight="1">
      <c r="A1" s="22" t="s">
        <v>13</v>
      </c>
      <c r="B1" s="23" t="s">
        <v>6</v>
      </c>
      <c r="C1" s="23" t="s">
        <v>14</v>
      </c>
      <c r="D1" s="24" t="s">
        <v>15</v>
      </c>
      <c r="E1" s="24" t="s">
        <v>16</v>
      </c>
      <c r="F1" s="24" t="s">
        <v>17</v>
      </c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2" t="s">
        <v>22</v>
      </c>
      <c r="B2" s="33" t="s">
        <v>23</v>
      </c>
      <c r="C2" s="34" t="s">
        <v>24</v>
      </c>
      <c r="D2" s="35" t="s">
        <v>25</v>
      </c>
      <c r="E2" s="36">
        <v>7.0</v>
      </c>
      <c r="F2" s="37">
        <v>39.13</v>
      </c>
    </row>
    <row r="3">
      <c r="A3" s="38" t="s">
        <v>26</v>
      </c>
      <c r="B3" s="39" t="s">
        <v>23</v>
      </c>
      <c r="C3" s="40" t="s">
        <v>27</v>
      </c>
      <c r="D3" s="41" t="s">
        <v>28</v>
      </c>
      <c r="E3" s="41">
        <v>30.0</v>
      </c>
      <c r="F3" s="41">
        <v>29.7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32" t="s">
        <v>29</v>
      </c>
      <c r="B4" s="33" t="s">
        <v>23</v>
      </c>
      <c r="C4" s="34" t="s">
        <v>30</v>
      </c>
      <c r="D4" s="36">
        <v>3.89</v>
      </c>
      <c r="E4" s="36">
        <v>1.0</v>
      </c>
      <c r="F4" s="37">
        <v>3.89</v>
      </c>
    </row>
    <row r="5">
      <c r="A5" s="30"/>
      <c r="B5" s="14"/>
      <c r="C5" s="43"/>
      <c r="D5" s="16"/>
      <c r="E5" s="16"/>
      <c r="F5" s="15"/>
    </row>
    <row r="6">
      <c r="A6" s="30"/>
      <c r="B6" s="14"/>
      <c r="C6" s="43"/>
      <c r="D6" s="16"/>
      <c r="E6" s="16"/>
      <c r="F6" s="15"/>
    </row>
    <row r="7">
      <c r="A7" s="30"/>
      <c r="B7" s="14"/>
      <c r="C7" s="44"/>
      <c r="D7" s="16"/>
      <c r="E7" s="16"/>
      <c r="F7" s="15"/>
    </row>
    <row r="8">
      <c r="A8" s="30"/>
      <c r="B8" s="14"/>
      <c r="C8" s="43"/>
      <c r="D8" s="16"/>
      <c r="E8" s="16"/>
      <c r="F8" s="15"/>
    </row>
    <row r="9" ht="12.75" customHeight="1">
      <c r="A9" s="30"/>
      <c r="D9" s="16"/>
      <c r="E9" s="16"/>
      <c r="F9" s="15"/>
    </row>
    <row r="10" ht="12.75" customHeight="1"/>
    <row r="11" ht="12.75" customHeight="1"/>
    <row r="12" ht="12.75" customHeight="1">
      <c r="E12" s="14" t="s">
        <v>21</v>
      </c>
      <c r="F12" s="45">
        <f>SUM(F2:F9)</f>
        <v>72.72</v>
      </c>
    </row>
    <row r="13" ht="12.75" customHeight="1"/>
    <row r="14" ht="12.75" customHeight="1"/>
    <row r="15" ht="12.75" customHeight="1"/>
    <row r="16" ht="12.75" customHeight="1">
      <c r="A16" s="30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>
      <c r="A26" s="31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nav-specification" ref="C2"/>
    <hyperlink r:id="rId2" ref="C3"/>
    <hyperlink r:id="rId3" location="nav-description" ref="C4"/>
  </hyperlink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4"/>
</worksheet>
</file>